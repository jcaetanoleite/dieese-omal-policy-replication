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01a9c2a4d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âmetros" sheetId="1" r:id="R7c0e04c371044881"/>
    <x:sheet xmlns:r="http://schemas.openxmlformats.org/officeDocument/2006/relationships" name="Brasil_2012_2023" sheetId="2" r:id="R5c9cebda03544661"/>
    <x:sheet xmlns:r="http://schemas.openxmlformats.org/officeDocument/2006/relationships" name="OCDE_2025" sheetId="3" r:id="Rf68f01970c394af5"/>
    <x:sheet xmlns:r="http://schemas.openxmlformats.org/officeDocument/2006/relationships" name="Comparação_2023_2025" sheetId="4" r:id="R80d4e97be15f4e14"/>
    <x:sheet xmlns:r="http://schemas.openxmlformats.org/officeDocument/2006/relationships" name="Notas" sheetId="5" r:id="Ra85edbb65493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R$ #,##0.0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04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20936ca3546b3" /><Relationship Type="http://schemas.openxmlformats.org/officeDocument/2006/relationships/theme" Target="/xl/theme/theme1.xml" Id="R9ac08ce26cb04b9a" /><Relationship Type="http://schemas.openxmlformats.org/officeDocument/2006/relationships/sharedStrings" Target="/xl/sharedStrings.xml" Id="R2da24ed2b16d422f" /><Relationship Type="http://schemas.openxmlformats.org/officeDocument/2006/relationships/worksheet" Target="/xl/worksheets/sheet1.xml" Id="R7c0e04c371044881" /><Relationship Type="http://schemas.openxmlformats.org/officeDocument/2006/relationships/worksheet" Target="/xl/worksheets/sheet2.xml" Id="R5c9cebda03544661" /><Relationship Type="http://schemas.openxmlformats.org/officeDocument/2006/relationships/worksheet" Target="/xl/worksheets/sheet3.xml" Id="Rf68f01970c394af5" /><Relationship Type="http://schemas.openxmlformats.org/officeDocument/2006/relationships/worksheet" Target="/xl/worksheets/sheet4.xml" Id="R80d4e97be15f4e14" /><Relationship Type="http://schemas.openxmlformats.org/officeDocument/2006/relationships/worksheet" Target="/xl/worksheets/sheet5.xml" Id="Ra85edbb654934629" /></Relationships>
</file>

<file path=xl/tables/table1.xml><?xml version="1.0" encoding="utf-8"?>
<x:table xmlns:x="http://schemas.openxmlformats.org/spreadsheetml/2006/main" id="1" name="TabelaKaitzBrasil" displayName="TabelaKaitzBrasil" ref="A1:L13" headerRowCount="1">
  <x:tableColumns count="12">
    <x:tableColumn id="1" name="Ano"/>
    <x:tableColumn id="2" name="Mediana PNAD (R$ 4º tri. 2023)"/>
    <x:tableColumn id="3" name="Fator de conversão"/>
    <x:tableColumn id="4" name="Mediana (R$ jun. 2026)"/>
    <x:tableColumn id="5" name="Mínimo nominal médio"/>
    <x:tableColumn id="6" name="DIEESE nominal médio"/>
    <x:tableColumn id="7" name="Mínimo real médio (R$ jun. 2026)"/>
    <x:tableColumn id="8" name="DIEESE real médio (R$ jun. 2026)"/>
    <x:tableColumn id="9" name="Kaitz ampliado — piso legal"/>
    <x:tableColumn id="10" name="Pseudo-Kaitz — DIEESE"/>
    <x:tableColumn id="11" name="Sensibilidade DIEESE ÷ 4"/>
    <x:tableColumn id="12" name="Fonte"/>
  </x:tableColumns>
  <x:tableStyleInfo name="TableStyleMedium2" showRowStripes="1"/>
</x:table>
</file>

<file path=xl/tables/table2.xml><?xml version="1.0" encoding="utf-8"?>
<x:table xmlns:x="http://schemas.openxmlformats.org/spreadsheetml/2006/main" id="2" name="TabelaKaitzOCDE" displayName="TabelaKaitzOCDE" ref="A1:E32" headerRowCount="1">
  <x:tableColumns count="5">
    <x:tableColumn id="1" name="País/economia"/>
    <x:tableColumn id="2" name="Código"/>
    <x:tableColumn id="3" name="Kaitz 2025 ou último (%)"/>
    <x:tableColumn id="4" name="Kaitz 2021 (%)"/>
    <x:tableColumn id="5" name="Fo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8864bc2fd7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b0c4c46b3f4afc" /></Relationships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75" hidden="0" customWidth="1"/>
  </x:cols>
  <x:sheetData>
    <x:row r="1">
      <x:c r="A1" s="8" t="str">
        <x:v>Parâmetro</x:v>
      </x:c>
      <x:c r="B1" s="8" t="str">
        <x:v>Valor</x:v>
      </x:c>
    </x:row>
    <x:row r="2">
      <x:c r="A2" s="9" t="str">
        <x:v>Fator 4º tri. 2023 → jun. 2026</x:v>
      </x:c>
      <x:c r="B2" s="10" t="n">
        <x:v>1.131210050331366</x:v>
      </x:c>
    </x:row>
    <x:row r="3">
      <x:c r="A3" s="9" t="str">
        <x:v>Definição OCDE</x:v>
      </x:c>
      <x:c r="B3" s="9" t="str">
        <x:v>Mínimo bruto / mediana bruta de trabalhadores em tempo integral</x:v>
      </x:c>
    </x:row>
    <x:row r="4">
      <x:c r="A4" s="9" t="str">
        <x:v>Definição Brasil</x:v>
      </x:c>
      <x:c r="B4" s="9" t="str">
        <x:v>Mínimo mensal médio / renda mediana de todos os trabalhos dos ocupados</x:v>
      </x:c>
    </x:row>
    <x:row r="5">
      <x:c r="A5" s="9" t="str">
        <x:v>Fonte medianas</x:v>
      </x:c>
      <x:c r="B5" s="9" t="str">
        <x:v>https://iepecdg.com.br/wp-content/uploads/2024/04/RENDA-PNADC-2012-2023D.pdf</x:v>
      </x:c>
    </x:row>
    <x:row r="6">
      <x:c r="A6" s="9" t="str">
        <x:v>Fonte OCDE</x:v>
      </x:c>
      <x:c r="B6" s="9" t="str">
        <x:v>https://stat.link/3f9n86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3" hidden="0" customWidth="1"/>
    <x:col min="10" max="10" width="22" hidden="0" customWidth="1"/>
    <x:col min="11" max="11" width="22" hidden="0" customWidth="1"/>
    <x:col min="12" max="12" width="30" hidden="0" customWidth="1"/>
  </x:cols>
  <x:sheetData>
    <x:row r="1" ht="40" customHeight="1">
      <x:c r="A1" s="15" t="str">
        <x:v>Ano</x:v>
      </x:c>
      <x:c r="B1" s="15" t="str">
        <x:v>Mediana PNAD (R$ 4º tri. 2023)</x:v>
      </x:c>
      <x:c r="C1" s="15" t="str">
        <x:v>Fator de conversão</x:v>
      </x:c>
      <x:c r="D1" s="15" t="str">
        <x:v>Mediana (R$ jun. 2026)</x:v>
      </x:c>
      <x:c r="E1" s="15" t="str">
        <x:v>Mínimo nominal médio</x:v>
      </x:c>
      <x:c r="F1" s="15" t="str">
        <x:v>DIEESE nominal médio</x:v>
      </x:c>
      <x:c r="G1" s="15" t="str">
        <x:v>Mínimo real médio (R$ jun. 2026)</x:v>
      </x:c>
      <x:c r="H1" s="15" t="str">
        <x:v>DIEESE real médio (R$ jun. 2026)</x:v>
      </x:c>
      <x:c r="I1" s="15" t="str">
        <x:v>Kaitz ampliado — piso legal</x:v>
      </x:c>
      <x:c r="J1" s="15" t="str">
        <x:v>Pseudo-Kaitz — DIEESE</x:v>
      </x:c>
      <x:c r="K1" s="15" t="str">
        <x:v>Sensibilidade DIEESE ÷ 4</x:v>
      </x:c>
      <x:c r="L1" s="15" t="str">
        <x:v>Fonte</x:v>
      </x:c>
    </x:row>
    <x:row r="2">
      <x:c r="A2" s="24" t="n">
        <x:v>2012</x:v>
      </x:c>
      <x:c r="B2" s="25" t="n">
        <x:v>1689</x:v>
      </x:c>
      <x:c r="C2" s="25" t="n">
        <x:f>'Parâmetros'!$B$2</x:f>
        <x:v>1.131210050331366</x:v>
      </x:c>
      <x:c r="D2" s="25" t="n">
        <x:f>B2*C2</x:f>
        <x:v>1910.6137750096773</x:v>
      </x:c>
      <x:c r="E2" s="25" t="n">
        <x:v>622</x:v>
      </x:c>
      <x:c r="F2" s="25" t="n">
        <x:v>2463.8058333333333</x:v>
      </x:c>
      <x:c r="G2" s="25" t="n">
        <x:v>1352.9483333333333</x:v>
      </x:c>
      <x:c r="H2" s="25" t="n">
        <x:v>5355.695426165596</x:v>
      </x:c>
      <x:c r="I2" s="26" t="n">
        <x:f>G2/D2</x:f>
        <x:v>0.7081223589139467</x:v>
      </x:c>
      <x:c r="J2" s="26" t="n">
        <x:f>H2/D2</x:f>
        <x:v>2.803128238797749</x:v>
      </x:c>
      <x:c r="K2" s="26" t="n">
        <x:f>(H2/4)/D2</x:f>
        <x:v>0.7007820596994373</x:v>
      </x:c>
      <x:c r="L2" s="9" t="str">
        <x:v>Hoffmann (2024); DIEESE; Ipea</x:v>
      </x:c>
    </x:row>
    <x:row r="3">
      <x:c r="A3" s="24" t="n">
        <x:v>2013</x:v>
      </x:c>
      <x:c r="B3" s="25" t="n">
        <x:v>1778</x:v>
      </x:c>
      <x:c r="C3" s="25" t="n">
        <x:f>'Parâmetros'!$B$2</x:f>
        <x:v>1.131210050331366</x:v>
      </x:c>
      <x:c r="D3" s="25" t="n">
        <x:f>B3*C3</x:f>
        <x:v>2011.2914694891688</x:v>
      </x:c>
      <x:c r="E3" s="25" t="n">
        <x:v>678</x:v>
      </x:c>
      <x:c r="F3" s="25" t="n">
        <x:v>2765.3325</x:v>
      </x:c>
      <x:c r="G3" s="25" t="n">
        <x:v>1386.2325</x:v>
      </x:c>
      <x:c r="H3" s="25" t="n">
        <x:v>5653.992458198131</x:v>
      </x:c>
      <x:c r="I3" s="26" t="n">
        <x:f>G3/D3</x:f>
        <x:v>0.6892250680862668</x:v>
      </x:c>
      <x:c r="J3" s="26" t="n">
        <x:f>H3/D3</x:f>
        <x:v>2.8111253609772144</x:v>
      </x:c>
      <x:c r="K3" s="26" t="n">
        <x:f>(H3/4)/D3</x:f>
        <x:v>0.7027813402443036</x:v>
      </x:c>
      <x:c r="L3" s="9" t="str">
        <x:v>Hoffmann (2024); DIEESE; Ipea</x:v>
      </x:c>
    </x:row>
    <x:row r="4">
      <x:c r="A4" s="24" t="n">
        <x:v>2014</x:v>
      </x:c>
      <x:c r="B4" s="25" t="n">
        <x:v>1743</x:v>
      </x:c>
      <x:c r="C4" s="25" t="n">
        <x:f>'Parâmetros'!$B$2</x:f>
        <x:v>1.131210050331366</x:v>
      </x:c>
      <x:c r="D4" s="25" t="n">
        <x:f>B4*C4</x:f>
        <x:v>1971.6991177275709</x:v>
      </x:c>
      <x:c r="E4" s="25" t="n">
        <x:v>724</x:v>
      </x:c>
      <x:c r="F4" s="25" t="n">
        <x:v>2925.155</x:v>
      </x:c>
      <x:c r="G4" s="25" t="n">
        <x:v>1396.135</x:v>
      </x:c>
      <x:c r="H4" s="25" t="n">
        <x:v>5639.512834403776</x:v>
      </x:c>
      <x:c r="I4" s="26" t="n">
        <x:f>G4/D4</x:f>
        <x:v>0.7080872469066569</x:v>
      </x:c>
      <x:c r="J4" s="26" t="n">
        <x:f>H4/D4</x:f>
        <x:v>2.8602299324977363</x:v>
      </x:c>
      <x:c r="K4" s="26" t="n">
        <x:f>(H4/4)/D4</x:f>
        <x:v>0.7150574831244341</x:v>
      </x:c>
      <x:c r="L4" s="9" t="str">
        <x:v>Hoffmann (2024); DIEESE; Ipea</x:v>
      </x:c>
    </x:row>
    <x:row r="5">
      <x:c r="A5" s="24" t="n">
        <x:v>2015</x:v>
      </x:c>
      <x:c r="B5" s="25" t="n">
        <x:v>1811</x:v>
      </x:c>
      <x:c r="C5" s="25" t="n">
        <x:f>'Parâmetros'!$B$2</x:f>
        <x:v>1.131210050331366</x:v>
      </x:c>
      <x:c r="D5" s="25" t="n">
        <x:f>B5*C5</x:f>
        <x:v>2048.621401150104</x:v>
      </x:c>
      <x:c r="E5" s="25" t="n">
        <x:v>788</x:v>
      </x:c>
      <x:c r="F5" s="25" t="n">
        <x:v>3280.7541666666666</x:v>
      </x:c>
      <x:c r="G5" s="25" t="n">
        <x:v>1390.4616666666666</x:v>
      </x:c>
      <x:c r="H5" s="25" t="n">
        <x:v>5785.233849471235</x:v>
      </x:c>
      <x:c r="I5" s="26" t="n">
        <x:f>G5/D5</x:f>
        <x:v>0.6787304212901691</x:v>
      </x:c>
      <x:c r="J5" s="26" t="n">
        <x:f>H5/D5</x:f>
        <x:v>2.823964372442552</x:v>
      </x:c>
      <x:c r="K5" s="26" t="n">
        <x:f>(H5/4)/D5</x:f>
        <x:v>0.705991093110638</x:v>
      </x:c>
      <x:c r="L5" s="9" t="str">
        <x:v>Hoffmann (2024); DIEESE; Ipea</x:v>
      </x:c>
    </x:row>
    <x:row r="6">
      <x:c r="A6" s="24" t="n">
        <x:v>2016</x:v>
      </x:c>
      <x:c r="B6" s="25" t="n">
        <x:v>1717</x:v>
      </x:c>
      <x:c r="C6" s="25" t="n">
        <x:f>'Parâmetros'!$B$2</x:f>
        <x:v>1.131210050331366</x:v>
      </x:c>
      <x:c r="D6" s="25" t="n">
        <x:f>B6*C6</x:f>
        <x:v>1942.2876564189555</x:v>
      </x:c>
      <x:c r="E6" s="25" t="n">
        <x:v>880</x:v>
      </x:c>
      <x:c r="F6" s="25" t="n">
        <x:v>3875.1325</x:v>
      </x:c>
      <x:c r="G6" s="25" t="n">
        <x:v>1419.7525</x:v>
      </x:c>
      <x:c r="H6" s="25" t="n">
        <x:v>6249.575751543561</x:v>
      </x:c>
      <x:c r="I6" s="26" t="n">
        <x:f>G6/D6</x:f>
        <x:v>0.7309692234865115</x:v>
      </x:c>
      <x:c r="J6" s="26" t="n">
        <x:f>H6/D6</x:f>
        <x:v>3.2176365487829237</x:v>
      </x:c>
      <x:c r="K6" s="26" t="n">
        <x:f>(H6/4)/D6</x:f>
        <x:v>0.8044091371957309</x:v>
      </x:c>
      <x:c r="L6" s="9" t="str">
        <x:v>Hoffmann (2024); DIEESE; Ipea</x:v>
      </x:c>
    </x:row>
    <x:row r="7">
      <x:c r="A7" s="24" t="n">
        <x:v>2017</x:v>
      </x:c>
      <x:c r="B7" s="25" t="n">
        <x:v>1671</x:v>
      </x:c>
      <x:c r="C7" s="25" t="n">
        <x:f>'Parâmetros'!$B$2</x:f>
        <x:v>1.131210050331366</x:v>
      </x:c>
      <x:c r="D7" s="25" t="n">
        <x:f>B7*C7</x:f>
        <x:v>1890.2519941037126</x:v>
      </x:c>
      <x:c r="E7" s="25" t="n">
        <x:v>937</x:v>
      </x:c>
      <x:c r="F7" s="25" t="n">
        <x:v>3744.5175</x:v>
      </x:c>
      <x:c r="G7" s="25" t="n">
        <x:v>1467.7675</x:v>
      </x:c>
      <x:c r="H7" s="25" t="n">
        <x:v>5865.76946053006</x:v>
      </x:c>
      <x:c r="I7" s="26" t="n">
        <x:f>G7/D7</x:f>
        <x:v>0.7764930308648932</x:v>
      </x:c>
      <x:c r="J7" s="26" t="n">
        <x:f>H7/D7</x:f>
        <x:v>3.103167979098676</x:v>
      </x:c>
      <x:c r="K7" s="26" t="n">
        <x:f>(H7/4)/D7</x:f>
        <x:v>0.775791994774669</x:v>
      </x:c>
      <x:c r="L7" s="9" t="str">
        <x:v>Hoffmann (2024); DIEESE; Ipea</x:v>
      </x:c>
    </x:row>
    <x:row r="8">
      <x:c r="A8" s="24" t="n">
        <x:v>2018</x:v>
      </x:c>
      <x:c r="B8" s="25" t="n">
        <x:v>1779</x:v>
      </x:c>
      <x:c r="C8" s="25" t="n">
        <x:f>'Parâmetros'!$B$2</x:f>
        <x:v>1.131210050331366</x:v>
      </x:c>
      <x:c r="D8" s="25" t="n">
        <x:f>B8*C8</x:f>
        <x:v>2012.4226795395002</x:v>
      </x:c>
      <x:c r="E8" s="25" t="n">
        <x:v>954</x:v>
      </x:c>
      <x:c r="F8" s="25" t="n">
        <x:v>3755.2508333333335</x:v>
      </x:c>
      <x:c r="G8" s="25" t="n">
        <x:v>1452.86</x:v>
      </x:c>
      <x:c r="H8" s="25" t="n">
        <x:v>5718.1394</x:v>
      </x:c>
      <x:c r="I8" s="26" t="n">
        <x:f>G8/D8</x:f>
        <x:v>0.7219457496535746</x:v>
      </x:c>
      <x:c r="J8" s="26" t="n">
        <x:f>H8/D8</x:f>
        <x:v>2.8414206707849634</x:v>
      </x:c>
      <x:c r="K8" s="26" t="n">
        <x:f>(H8/4)/D8</x:f>
        <x:v>0.7103551676962409</x:v>
      </x:c>
      <x:c r="L8" s="9" t="str">
        <x:v>Hoffmann (2024); DIEESE; Ipea</x:v>
      </x:c>
    </x:row>
    <x:row r="9">
      <x:c r="A9" s="24" t="n">
        <x:v>2019</x:v>
      </x:c>
      <x:c r="B9" s="25" t="n">
        <x:v>1816</x:v>
      </x:c>
      <x:c r="C9" s="25" t="n">
        <x:f>'Parâmetros'!$B$2</x:f>
        <x:v>1.131210050331366</x:v>
      </x:c>
      <x:c r="D9" s="25" t="n">
        <x:f>B9*C9</x:f>
        <x:v>2054.2774514017606</x:v>
      </x:c>
      <x:c r="E9" s="25" t="n">
        <x:v>998</x:v>
      </x:c>
      <x:c r="F9" s="25" t="n">
        <x:v>4135.8525</x:v>
      </x:c>
      <x:c r="G9" s="25" t="n">
        <x:v>1464.7925</x:v>
      </x:c>
      <x:c r="H9" s="25" t="n">
        <x:v>6069.513669363728</x:v>
      </x:c>
      <x:c r="I9" s="26" t="n">
        <x:f>G9/D9</x:f>
        <x:v>0.7130451142324916</x:v>
      </x:c>
      <x:c r="J9" s="26" t="n">
        <x:f>H9/D9</x:f>
        <x:v>2.954573475565398</x:v>
      </x:c>
      <x:c r="K9" s="26" t="n">
        <x:f>(H9/4)/D9</x:f>
        <x:v>0.7386433688913495</x:v>
      </x:c>
      <x:c r="L9" s="9" t="str">
        <x:v>Hoffmann (2024); DIEESE; Ipea</x:v>
      </x:c>
    </x:row>
    <x:row r="10">
      <x:c r="A10" s="24" t="n">
        <x:v>2020</x:v>
      </x:c>
      <x:c r="B10" s="25" t="n">
        <x:v>1881</x:v>
      </x:c>
      <x:c r="C10" s="25" t="n">
        <x:f>'Parâmetros'!$B$2</x:f>
        <x:v>1.131210050331366</x:v>
      </x:c>
      <x:c r="D10" s="25" t="n">
        <x:f>B10*C10</x:f>
        <x:v>2127.8061046732996</x:v>
      </x:c>
      <x:c r="E10" s="25" t="n">
        <x:v>1044.5</x:v>
      </x:c>
      <x:c r="F10" s="25" t="n">
        <x:v>4717.489166666666</x:v>
      </x:c>
      <x:c r="G10" s="25" t="n">
        <x:v>1479.81</x:v>
      </x:c>
      <x:c r="H10" s="25" t="n">
        <x:v>6676.95985909754</x:v>
      </x:c>
      <x:c r="I10" s="26" t="n">
        <x:f>G10/D10</x:f>
        <x:v>0.6954628040355246</x:v>
      </x:c>
      <x:c r="J10" s="26" t="n">
        <x:f>H10/D10</x:f>
        <x:v>3.13795502533475</x:v>
      </x:c>
      <x:c r="K10" s="26" t="n">
        <x:f>(H10/4)/D10</x:f>
        <x:v>0.7844887563336875</x:v>
      </x:c>
      <x:c r="L10" s="9" t="str">
        <x:v>Hoffmann (2024); DIEESE; Ipea</x:v>
      </x:c>
    </x:row>
    <x:row r="11">
      <x:c r="A11" s="24" t="n">
        <x:v>2021</x:v>
      </x:c>
      <x:c r="B11" s="25" t="n">
        <x:v>1705</x:v>
      </x:c>
      <x:c r="C11" s="25" t="n">
        <x:f>'Parâmetros'!$B$2</x:f>
        <x:v>1.131210050331366</x:v>
      </x:c>
      <x:c r="D11" s="25" t="n">
        <x:f>B11*C11</x:f>
        <x:v>1928.713135814979</x:v>
      </x:c>
      <x:c r="E11" s="25" t="n">
        <x:v>1100</x:v>
      </x:c>
      <x:c r="F11" s="25" t="n">
        <x:v>5558.9125</x:v>
      </x:c>
      <x:c r="G11" s="25" t="n">
        <x:v>1430.825</x:v>
      </x:c>
      <x:c r="H11" s="25" t="n">
        <x:v>7223.356854318182</x:v>
      </x:c>
      <x:c r="I11" s="26" t="n">
        <x:f>G11/D11</x:f>
        <x:v>0.7418547493821075</x:v>
      </x:c>
      <x:c r="J11" s="26" t="n">
        <x:f>H11/D11</x:f>
        <x:v>3.7451691079326563</x:v>
      </x:c>
      <x:c r="K11" s="26" t="n">
        <x:f>(H11/4)/D11</x:f>
        <x:v>0.9362922769831641</x:v>
      </x:c>
      <x:c r="L11" s="9" t="str">
        <x:v>Hoffmann (2024); DIEESE; Ipea</x:v>
      </x:c>
    </x:row>
    <x:row r="12">
      <x:c r="A12" s="24" t="n">
        <x:v>2022</x:v>
      </x:c>
      <x:c r="B12" s="25" t="n">
        <x:v>1667</x:v>
      </x:c>
      <x:c r="C12" s="25" t="n">
        <x:f>'Parâmetros'!$B$2</x:f>
        <x:v>1.131210050331366</x:v>
      </x:c>
      <x:c r="D12" s="25" t="n">
        <x:f>B12*C12</x:f>
        <x:v>1885.727153902387</x:v>
      </x:c>
      <x:c r="E12" s="25" t="n">
        <x:v>1212</x:v>
      </x:c>
      <x:c r="F12" s="25" t="n">
        <x:v>6408.141666666666</x:v>
      </x:c>
      <x:c r="G12" s="25" t="n">
        <x:v>1439.6691666666666</x:v>
      </x:c>
      <x:c r="H12" s="25" t="n">
        <x:v>7608.627279262926</x:v>
      </x:c>
      <x:c r="I12" s="26" t="n">
        <x:f>G12/D12</x:f>
        <x:v>0.7634557118655086</x:v>
      </x:c>
      <x:c r="J12" s="26" t="n">
        <x:f>H12/D12</x:f>
        <x:v>4.0348505686612075</x:v>
      </x:c>
      <x:c r="K12" s="26" t="n">
        <x:f>(H12/4)/D12</x:f>
        <x:v>1.0087126421653019</x:v>
      </x:c>
      <x:c r="L12" s="9" t="str">
        <x:v>Hoffmann (2024); DIEESE; Ipea</x:v>
      </x:c>
    </x:row>
    <x:row r="13">
      <x:c r="A13" s="24" t="n">
        <x:v>2023</x:v>
      </x:c>
      <x:c r="B13" s="25" t="n">
        <x:v>1812</x:v>
      </x:c>
      <x:c r="C13" s="25" t="n">
        <x:f>'Parâmetros'!$B$2</x:f>
        <x:v>1.131210050331366</x:v>
      </x:c>
      <x:c r="D13" s="25" t="n">
        <x:f>B13*C13</x:f>
        <x:v>2049.7526112004352</x:v>
      </x:c>
      <x:c r="E13" s="25" t="n">
        <x:v>1314</x:v>
      </x:c>
      <x:c r="F13" s="25" t="n">
        <x:v>6484.275833333333</x:v>
      </x:c>
      <x:c r="G13" s="25" t="n">
        <x:v>1498.3691666666666</x:v>
      </x:c>
      <x:c r="H13" s="25" t="n">
        <x:v>7395.19477001027</x:v>
      </x:c>
      <x:c r="I13" s="26" t="n">
        <x:f>G13/D13</x:f>
        <x:v>0.7310000038439509</x:v>
      </x:c>
      <x:c r="J13" s="26" t="n">
        <x:f>H13/D13</x:f>
        <x:v>3.6078474688119964</x:v>
      </x:c>
      <x:c r="K13" s="26" t="n">
        <x:f>(H13/4)/D13</x:f>
        <x:v>0.9019618672029991</x:v>
      </x:c>
      <x:c r="L13" s="9" t="str">
        <x:v>Hoffmann (2024); DIEESE; Ipea</x:v>
      </x:c>
    </x:row>
  </x:sheetData>
  <x:conditionalFormatting sqref="I2:I13">
    <x:cfRule type="dataBar" priority="1">
      <x:dataBar>
        <x:cfvo type="min"/>
        <x:cfvo type="max"/>
        <x:color rgb="FF2A7F9E"/>
      </x:dataBar>
      <x:extLst>
        <x:ext xmlns:x14="http://schemas.microsoft.com/office/spreadsheetml/2009/9/main" uri="{B025F937-C7B1-47D3-B67F-A62EFF666E3E}">
          <x14:id>{B89BC8F6-7777-F766-0EC0-17B34506CF77}</x14:id>
        </x:ext>
      </x:extLst>
    </x:cfRule>
  </x:conditionalFormatting>
  <x:conditionalFormatting sqref="J2:J13">
    <x:cfRule type="dataBar" priority="2">
      <x:dataBar>
        <x:cfvo type="min"/>
        <x:cfvo type="max"/>
        <x:color rgb="FFE76F51"/>
      </x:dataBar>
      <x:extLst>
        <x:ext xmlns:x14="http://schemas.microsoft.com/office/spreadsheetml/2009/9/main" uri="{B025F937-C7B1-47D3-B67F-A62EFF666E3E}">
          <x14:id>{165456A8-F74A-1B74-AAF7-686A0FED9237}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18864bc2fd74a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89BC8F6-7777-F766-0EC0-17B34506CF77}">
            <x14:dataBar gradient="1">
              <x14:cfvo type="min"/>
              <x14:cfvo type="max"/>
              <x14:fillColor rgb="FF2A7F9E"/>
            </x14:dataBar>
          </x14:cfRule>
          <xm:sqref>I2:I13</xm:sqref>
        </x14:conditionalFormatting>
        <x14:conditionalFormatting>
          <x14:cfRule type="dataBar" priority="2" id="{165456A8-F74A-1B74-AAF7-686A0FED9237}">
            <x14:dataBar gradient="1">
              <x14:cfvo type="min"/>
              <x14:cfvo type="max"/>
              <x14:fillColor rgb="FFE76F51"/>
            </x14:dataBar>
          </x14:cfRule>
          <xm:sqref>J2:J13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" hidden="0" customWidth="1"/>
    <x:col min="3" max="3" width="22" hidden="0" customWidth="1"/>
    <x:col min="4" max="4" width="22" hidden="0" customWidth="1"/>
    <x:col min="5" max="5" width="30" hidden="0" customWidth="1"/>
  </x:cols>
  <x:sheetData>
    <x:row r="1" ht="28" customHeight="1">
      <x:c r="A1" s="31" t="str">
        <x:v>País/economia</x:v>
      </x:c>
      <x:c r="B1" s="31" t="str">
        <x:v>Código</x:v>
      </x:c>
      <x:c r="C1" s="31" t="str">
        <x:v>Kaitz 2025 ou último (%)</x:v>
      </x:c>
      <x:c r="D1" s="31" t="str">
        <x:v>Kaitz 2021 (%)</x:v>
      </x:c>
      <x:c r="E1" s="31" t="str">
        <x:v>Fonte</x:v>
      </x:c>
    </x:row>
    <x:row r="2">
      <x:c r="A2" t="str">
        <x:v>Colombia</x:v>
      </x:c>
      <x:c r="B2" t="str">
        <x:v>COL</x:v>
      </x:c>
      <x:c r="C2" s="20" t="n">
        <x:v>0.9054383546929834</x:v>
      </x:c>
      <x:c r="D2" s="20" t="n">
        <x:v>0.908526</x:v>
      </x:c>
      <x:c r="E2" t="str">
        <x:v>https://stat.link/3f9n86</x:v>
      </x:c>
    </x:row>
    <x:row r="3">
      <x:c r="A3" t="str">
        <x:v>Costa Rica</x:v>
      </x:c>
      <x:c r="B3" t="str">
        <x:v>CRI</x:v>
      </x:c>
      <x:c r="C3" s="20" t="n">
        <x:v>0.8471736065167199</x:v>
      </x:c>
      <x:c r="D3" s="20" t="n">
        <x:v>0.8830988333333335</x:v>
      </x:c>
      <x:c r="E3" t="str">
        <x:v>https://stat.link/3f9n86</x:v>
      </x:c>
    </x:row>
    <x:row r="4">
      <x:c r="A4" t="str">
        <x:v>Mexico</x:v>
      </x:c>
      <x:c r="B4" t="str">
        <x:v>MEX</x:v>
      </x:c>
      <x:c r="C4" s="20" t="n">
        <x:v>0.7492749662826266</x:v>
      </x:c>
      <x:c r="D4" s="20" t="n">
        <x:v>0.5668</x:v>
      </x:c>
      <x:c r="E4" t="str">
        <x:v>https://stat.link/3f9n86</x:v>
      </x:c>
    </x:row>
    <x:row r="5">
      <x:c r="A5" t="str">
        <x:v>New Zealand</x:v>
      </x:c>
      <x:c r="B5" t="str">
        <x:v>NZL</x:v>
      </x:c>
      <x:c r="C5" s="20" t="n">
        <x:v>0.6404924760601916</x:v>
      </x:c>
      <x:c r="D5" s="20" t="n">
        <x:v>0.6761480466072652</x:v>
      </x:c>
      <x:c r="E5" t="str">
        <x:v>https://stat.link/3f9n86</x:v>
      </x:c>
    </x:row>
    <x:row r="6">
      <x:c r="A6" t="str">
        <x:v>Chile</x:v>
      </x:c>
      <x:c r="B6" t="str">
        <x:v>CHL</x:v>
      </x:c>
      <x:c r="C6" s="20" t="n">
        <x:v>0.625842564063951</x:v>
      </x:c>
      <x:c r="D6" s="20" t="n">
        <x:v>0.7313337465324704</x:v>
      </x:c>
      <x:c r="E6" t="str">
        <x:v>https://stat.link/3f9n86</x:v>
      </x:c>
    </x:row>
    <x:row r="7">
      <x:c r="A7" t="str">
        <x:v>France</x:v>
      </x:c>
      <x:c r="B7" t="str">
        <x:v>FRA</x:v>
      </x:c>
      <x:c r="C7" s="20" t="n">
        <x:v>0.6248382063793718</x:v>
      </x:c>
      <x:c r="D7" s="20" t="n">
        <x:v>0.6097124314440798</x:v>
      </x:c>
      <x:c r="E7" t="str">
        <x:v>https://stat.link/3f9n86</x:v>
      </x:c>
    </x:row>
    <x:row r="8">
      <x:c r="A8" t="str">
        <x:v>United Kingdom</x:v>
      </x:c>
      <x:c r="B8" t="str">
        <x:v>GBR</x:v>
      </x:c>
      <x:c r="C8" s="20" t="n">
        <x:v>0.6185410334346505</x:v>
      </x:c>
      <x:c r="D8" s="20" t="n">
        <x:v>0.569693094629156</x:v>
      </x:c>
      <x:c r="E8" t="str">
        <x:v>https://stat.link/3f9n86</x:v>
      </x:c>
    </x:row>
    <x:row r="9">
      <x:c r="A9" t="str">
        <x:v>Korea</x:v>
      </x:c>
      <x:c r="B9" t="str">
        <x:v>KOR</x:v>
      </x:c>
      <x:c r="C9" s="20" t="n">
        <x:v>0.5956864330849827</x:v>
      </x:c>
      <x:c r="D9" s="20" t="n">
        <x:v>0.6136296296296296</x:v>
      </x:c>
      <x:c r="E9" t="str">
        <x:v>https://stat.link/3f9n86</x:v>
      </x:c>
    </x:row>
    <x:row r="10">
      <x:c r="A10" t="str">
        <x:v>Poland</x:v>
      </x:c>
      <x:c r="B10" t="str">
        <x:v>POL</x:v>
      </x:c>
      <x:c r="C10" s="20" t="n">
        <x:v>0.5923303684285826</x:v>
      </x:c>
      <x:c r="D10" s="20" t="n">
        <x:v>0.5382379626924201</x:v>
      </x:c>
      <x:c r="E10" t="str">
        <x:v>https://stat.link/3f9n86</x:v>
      </x:c>
    </x:row>
    <x:row r="11">
      <x:c r="A11" t="str">
        <x:v>Portugal</x:v>
      </x:c>
      <x:c r="B11" t="str">
        <x:v>PRT</x:v>
      </x:c>
      <x:c r="C11" s="20" t="n">
        <x:v>0.5887841281000049</x:v>
      </x:c>
      <x:c r="D11" s="20" t="n">
        <x:v>0.5931434016932855</x:v>
      </x:c>
      <x:c r="E11" t="str">
        <x:v>https://stat.link/3f9n86</x:v>
      </x:c>
    </x:row>
    <x:row r="12">
      <x:c r="A12" t="str">
        <x:v>Slovenia</x:v>
      </x:c>
      <x:c r="B12" t="str">
        <x:v>SVN</x:v>
      </x:c>
      <x:c r="C12" s="20" t="n">
        <x:v>0.5853560359737936</x:v>
      </x:c>
      <x:c r="D12" s="20" t="n">
        <x:v>0.604146266746564</x:v>
      </x:c>
      <x:c r="E12" t="str">
        <x:v>https://stat.link/3f9n86</x:v>
      </x:c>
    </x:row>
    <x:row r="13">
      <x:c r="A13" t="str">
        <x:v>Luxembourg</x:v>
      </x:c>
      <x:c r="B13" t="str">
        <x:v>LUX</x:v>
      </x:c>
      <x:c r="C13" s="20" t="n">
        <x:v>0.5635251731961477</x:v>
      </x:c>
      <x:c r="D13" s="20" t="n">
        <x:v>0.5485164793341484</x:v>
      </x:c>
      <x:c r="E13" t="str">
        <x:v>https://stat.link/3f9n86</x:v>
      </x:c>
    </x:row>
    <x:row r="14">
      <x:c r="A14" t="str">
        <x:v>OECD</x:v>
      </x:c>
      <x:c r="B14" t="str">
        <x:v>OECD</x:v>
      </x:c>
      <x:c r="C14" s="20" t="n">
        <x:v>0.5557528929892155</x:v>
      </x:c>
      <x:c r="D14" s="20" t="n">
        <x:v>0.549056498071177</x:v>
      </x:c>
      <x:c r="E14" t="str">
        <x:v>https://stat.link/3f9n86</x:v>
      </x:c>
    </x:row>
    <x:row r="15">
      <x:c r="A15" t="str">
        <x:v>Spain</x:v>
      </x:c>
      <x:c r="B15" t="str">
        <x:v>ESP</x:v>
      </x:c>
      <x:c r="C15" s="20" t="n">
        <x:v>0.5530125843105455</x:v>
      </x:c>
      <x:c r="D15" s="20" t="n">
        <x:v>0.4845821349805186</x:v>
      </x:c>
      <x:c r="E15" t="str">
        <x:v>https://stat.link/3f9n86</x:v>
      </x:c>
    </x:row>
    <x:row r="16">
      <x:c r="A16" t="str">
        <x:v>Australia</x:v>
      </x:c>
      <x:c r="B16" t="str">
        <x:v>AUS</x:v>
      </x:c>
      <x:c r="C16" s="20" t="n">
        <x:v>0.5445146467547387</x:v>
      </x:c>
      <x:c r="D16" s="20" t="n">
        <x:v>0.5154102735156771</x:v>
      </x:c>
      <x:c r="E16" t="str">
        <x:v>https://stat.link/3f9n86</x:v>
      </x:c>
    </x:row>
    <x:row r="17">
      <x:c r="A17" t="str">
        <x:v>Slovak Republic</x:v>
      </x:c>
      <x:c r="B17" t="str">
        <x:v>SVK</x:v>
      </x:c>
      <x:c r="C17" s="20" t="n">
        <x:v>0.5150932315616742</x:v>
      </x:c>
      <x:c r="D17" s="20" t="n">
        <x:v>0.5240957875485609</x:v>
      </x:c>
      <x:c r="E17" t="str">
        <x:v>https://stat.link/3f9n86</x:v>
      </x:c>
    </x:row>
    <x:row r="18">
      <x:c r="A18" t="str">
        <x:v>Israel</x:v>
      </x:c>
      <x:c r="B18" t="str">
        <x:v>ISR</x:v>
      </x:c>
      <x:c r="C18" s="20" t="n">
        <x:v>0.5074647816628306</x:v>
      </x:c>
      <x:c r="D18" s="20" t="n">
        <x:v>0.5303744443577165</x:v>
      </x:c>
      <x:c r="E18" t="str">
        <x:v>https://stat.link/3f9n86</x:v>
      </x:c>
    </x:row>
    <x:row r="19">
      <x:c r="A19" t="str">
        <x:v>Lithuania</x:v>
      </x:c>
      <x:c r="B19" t="str">
        <x:v>LTU</x:v>
      </x:c>
      <x:c r="C19" s="20" t="n">
        <x:v>0.5013571602596003</x:v>
      </x:c>
      <x:c r="D19" s="20" t="n">
        <x:v>0.4665849599305342</x:v>
      </x:c>
      <x:c r="E19" t="str">
        <x:v>https://stat.link/3f9n86</x:v>
      </x:c>
    </x:row>
    <x:row r="20">
      <x:c r="A20" t="str">
        <x:v>Ireland</x:v>
      </x:c>
      <x:c r="B20" t="str">
        <x:v>IRL</x:v>
      </x:c>
      <x:c r="C20" s="20" t="n">
        <x:v>0.5011389427911669</x:v>
      </x:c>
      <x:c r="D20" s="20" t="n">
        <x:v>0.4718284146771967</x:v>
      </x:c>
      <x:c r="E20" t="str">
        <x:v>https://stat.link/3f9n86</x:v>
      </x:c>
    </x:row>
    <x:row r="21">
      <x:c r="A21" t="str">
        <x:v>Greece</x:v>
      </x:c>
      <x:c r="B21" t="str">
        <x:v>GRC</x:v>
      </x:c>
      <x:c r="C21" s="20" t="n">
        <x:v>0.5010175708933522</x:v>
      </x:c>
      <x:c r="D21" s="20" t="n">
        <x:v>0.4998879528163264</x:v>
      </x:c>
      <x:c r="E21" t="str">
        <x:v>https://stat.link/3f9n86</x:v>
      </x:c>
    </x:row>
    <x:row r="22">
      <x:c r="A22" t="str">
        <x:v>Germany</x:v>
      </x:c>
      <x:c r="B22" t="str">
        <x:v>DEU</x:v>
      </x:c>
      <x:c r="C22" s="20" t="n">
        <x:v>0.49555057387338003</x:v>
      </x:c>
      <x:c r="D22" s="20" t="n">
        <x:v>0.452649885583524</x:v>
      </x:c>
      <x:c r="E22" t="str">
        <x:v>https://stat.link/3f9n86</x:v>
      </x:c>
    </x:row>
    <x:row r="23">
      <x:c r="A23" t="str">
        <x:v>Canada</x:v>
      </x:c>
      <x:c r="B23" t="str">
        <x:v>CAN</x:v>
      </x:c>
      <x:c r="C23" s="20" t="n">
        <x:v>0.4924219910846954</x:v>
      </x:c>
      <x:c r="D23" s="20" t="n">
        <x:v>0.48932446622331116</x:v>
      </x:c>
      <x:c r="E23" t="str">
        <x:v>https://stat.link/3f9n86</x:v>
      </x:c>
    </x:row>
    <x:row r="24">
      <x:c r="A24" t="str">
        <x:v>Netherlands</x:v>
      </x:c>
      <x:c r="B24" t="str">
        <x:v>NLD</x:v>
      </x:c>
      <x:c r="C24" s="20" t="n">
        <x:v>0.48296957113151306</x:v>
      </x:c>
      <x:c r="D24" s="20" t="n">
        <x:v>0.46408052157192053</x:v>
      </x:c>
      <x:c r="E24" t="str">
        <x:v>https://stat.link/3f9n86</x:v>
      </x:c>
    </x:row>
    <x:row r="25">
      <x:c r="A25" t="str">
        <x:v>Hungary</x:v>
      </x:c>
      <x:c r="B25" t="str">
        <x:v>HUN</x:v>
      </x:c>
      <x:c r="C25" s="20" t="n">
        <x:v>0.4762566533122852</x:v>
      </x:c>
      <x:c r="D25" s="20" t="n">
        <x:v>0.4553431191024389</x:v>
      </x:c>
      <x:c r="E25" t="str">
        <x:v>https://stat.link/3f9n86</x:v>
      </x:c>
    </x:row>
    <x:row r="26">
      <x:c r="A26" t="str">
        <x:v>Belgium</x:v>
      </x:c>
      <x:c r="B26" t="str">
        <x:v>BEL</x:v>
      </x:c>
      <x:c r="C26" s="20" t="n">
        <x:v>0.47470750124257466</x:v>
      </x:c>
      <x:c r="D26" s="20" t="n">
        <x:v>0.42853145829080846</x:v>
      </x:c>
      <x:c r="E26" t="str">
        <x:v>https://stat.link/3f9n86</x:v>
      </x:c>
    </x:row>
    <x:row r="27">
      <x:c r="A27" t="str">
        <x:v>Türkiye</x:v>
      </x:c>
      <x:c r="B27" t="str">
        <x:v>TUR</x:v>
      </x:c>
      <x:c r="C27" s="20" t="n">
        <x:v>0.47221080803983456</x:v>
      </x:c>
      <x:c r="D27" s="20" t="n">
        <x:v>0.704184167891922</x:v>
      </x:c>
      <x:c r="E27" t="str">
        <x:v>https://stat.link/3f9n86</x:v>
      </x:c>
    </x:row>
    <x:row r="28">
      <x:c r="A28" t="str">
        <x:v>Czechia</x:v>
      </x:c>
      <x:c r="B28" t="str">
        <x:v>CZE</x:v>
      </x:c>
      <x:c r="C28" s="20" t="n">
        <x:v>0.46913413176353835</x:v>
      </x:c>
      <x:c r="D28" s="20" t="n">
        <x:v>0.4321988114532685</x:v>
      </x:c>
      <x:c r="E28" t="str">
        <x:v>https://stat.link/3f9n86</x:v>
      </x:c>
    </x:row>
    <x:row r="29">
      <x:c r="A29" t="str">
        <x:v>Japan</x:v>
      </x:c>
      <x:c r="B29" t="str">
        <x:v>JPN</x:v>
      </x:c>
      <x:c r="C29" s="20" t="n">
        <x:v>0.4636483731231943</x:v>
      </x:c>
      <x:c r="D29" s="20" t="n">
        <x:v>0.44474034159129316</x:v>
      </x:c>
      <x:c r="E29" t="str">
        <x:v>https://stat.link/3f9n86</x:v>
      </x:c>
    </x:row>
    <x:row r="30">
      <x:c r="A30" t="str">
        <x:v>Latvia</x:v>
      </x:c>
      <x:c r="B30" t="str">
        <x:v>LVA</x:v>
      </x:c>
      <x:c r="C30" s="20" t="n">
        <x:v>0.4484873629207688</x:v>
      </x:c>
      <x:c r="D30" s="20" t="n">
        <x:v>0.4398991663754805</x:v>
      </x:c>
      <x:c r="E30" t="str">
        <x:v>https://stat.link/3f9n86</x:v>
      </x:c>
    </x:row>
    <x:row r="31">
      <x:c r="A31" t="str">
        <x:v>Estonia</x:v>
      </x:c>
      <x:c r="B31" t="str">
        <x:v>EST</x:v>
      </x:c>
      <x:c r="C31" s="20" t="n">
        <x:v>0.42698416390000254</x:v>
      </x:c>
      <x:c r="D31" s="20" t="n">
        <x:v>0.4260081874401183</x:v>
      </x:c>
      <x:c r="E31" t="str">
        <x:v>https://stat.link/3f9n86</x:v>
      </x:c>
    </x:row>
    <x:row r="32">
      <x:c r="A32" t="str">
        <x:v>United States</x:v>
      </x:c>
      <x:c r="B32" t="str">
        <x:v>USA</x:v>
      </x:c>
      <x:c r="C32" s="20" t="n">
        <x:v>0.40933339483676</x:v>
      </x:c>
      <x:c r="D32" s="20" t="n">
        <x:v>0.3989849561423411</x:v>
      </x:c>
      <x:c r="E32" t="str">
        <x:v>https://stat.link/3f9n86</x:v>
      </x:c>
    </x:row>
  </x:sheetData>
  <x:conditionalFormatting sqref="C2:C32">
    <x:cfRule type="dataBar" priority="1">
      <x:dataBar>
        <x:cfvo type="min"/>
        <x:cfvo type="max"/>
        <x:color rgb="FFA9B1B5"/>
      </x:dataBar>
      <x:extLst>
        <x:ext xmlns:x14="http://schemas.microsoft.com/office/spreadsheetml/2009/9/main" uri="{B025F937-C7B1-47D3-B67F-A62EFF666E3E}">
          <x14:id>{26C80BE6-9238-6786-17CB-A3EBA8403D94}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4b0c4c46b3f4a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6C80BE6-9238-6786-17CB-A3EBA8403D94}">
            <x14:dataBar gradient="1">
              <x14:cfvo type="min"/>
              <x14:cfvo type="max"/>
              <x14:fillColor rgb="FFA9B1B5"/>
            </x14:dataBar>
          </x14:cfRule>
          <xm:sqref>C2:C32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5" hidden="0" customWidth="1"/>
    <x:col min="3" max="3" width="10" hidden="0" customWidth="1"/>
    <x:col min="4" max="4" width="66" hidden="0" customWidth="1"/>
  </x:cols>
  <x:sheetData>
    <x:row r="1">
      <x:c r="A1" s="8" t="str">
        <x:v>Indicador</x:v>
      </x:c>
      <x:c r="B1" s="8" t="str">
        <x:v>Valor</x:v>
      </x:c>
      <x:c r="C1" s="8" t="str">
        <x:v>Ano</x:v>
      </x:c>
      <x:c r="D1" s="8" t="str">
        <x:v>Comparabilidade</x:v>
      </x:c>
    </x:row>
    <x:row r="2">
      <x:c r="A2" s="9" t="str">
        <x:v>Brasil — piso legal</x:v>
      </x:c>
      <x:c r="B2" s="26" t="n">
        <x:v>0.7310000038439509</x:v>
      </x:c>
      <x:c r="C2" s="9" t="n">
        <x:v>2023</x:v>
      </x:c>
      <x:c r="D2" s="9" t="str">
        <x:v>Ampliado: todos os ocupados e todos os trabalhos</x:v>
      </x:c>
    </x:row>
    <x:row r="3">
      <x:c r="A3" s="9" t="str">
        <x:v>Brasil — DIEESE</x:v>
      </x:c>
      <x:c r="B3" s="26" t="n">
        <x:v>3.6078474688119964</x:v>
      </x:c>
      <x:c r="C3" s="9" t="n">
        <x:v>2023</x:v>
      </x:c>
      <x:c r="D3" s="9" t="str">
        <x:v>Pseudo-Kaitz: orçamento familiar normativo / renda individual</x:v>
      </x:c>
    </x:row>
    <x:row r="4">
      <x:c r="A4" s="9" t="str">
        <x:v>Brasil — DIEESE ÷ 4</x:v>
      </x:c>
      <x:c r="B4" s="26" t="n">
        <x:v>0.9019618672029991</x:v>
      </x:c>
      <x:c r="C4" s="9" t="n">
        <x:v>2023</x:v>
      </x:c>
      <x:c r="D4" s="9" t="str">
        <x:v>Sensibilidade mecânica; ainda não é comparável à OCDE</x:v>
      </x:c>
    </x:row>
    <x:row r="5">
      <x:c r="A5" s="9" t="str">
        <x:v>OCDE — média</x:v>
      </x:c>
      <x:c r="B5" s="26" t="n">
        <x:v>0.5557528929892155</x:v>
      </x:c>
      <x:c r="C5" s="9" t="n">
        <x:v>2025</x:v>
      </x:c>
      <x:c r="D5" s="9" t="str">
        <x:v>Definição padronizada OCDE; Chile e Irlanda em 2024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8" t="str">
        <x:v>Tema</x:v>
      </x:c>
      <x:c r="B1" s="8" t="str">
        <x:v>Nota</x:v>
      </x:c>
    </x:row>
    <x:row r="2">
      <x:c r="A2" s="9" t="str">
        <x:v>Índice da OCDE</x:v>
      </x:c>
      <x:c r="B2" s="9" t="str">
        <x:v>Salário mínimo bruto dividido pelo salário mediano bruto dos trabalhadores em tempo integral.</x:v>
      </x:c>
    </x:row>
    <x:row r="3">
      <x:c r="A3" s="9" t="str">
        <x:v>Denominador brasileiro</x:v>
      </x:c>
      <x:c r="B3" s="9" t="str">
        <x:v>Renda mediana de todos os trabalhos entre pessoas ocupadas na PNAD Contínua, não apenas empregados em tempo integral.</x:v>
      </x:c>
    </x:row>
    <x:row r="4">
      <x:c r="A4" s="9" t="str">
        <x:v>Rendimento do trabalho</x:v>
      </x:c>
      <x:c r="B4" s="9" t="str">
        <x:v>Na PNAD, pode incluir rendimento de conta própria e empregadores, com componentes associados a lucro, renda da terra e capital próprio.</x:v>
      </x:c>
    </x:row>
    <x:row r="5">
      <x:c r="A5" s="9" t="str">
        <x:v>DIEESE</x:v>
      </x:c>
      <x:c r="B5" s="9" t="str">
        <x:v>A referência é um orçamento familiar normativo. Sua divisão pela renda mediana individual é denominada pseudo-Kaitz.</x:v>
      </x:c>
    </x:row>
    <x:row r="6">
      <x:c r="A6" s="9" t="str">
        <x:v>Último ano brasileiro</x:v>
      </x:c>
      <x:c r="B6" s="9" t="str">
        <x:v>2023, conforme a série de Hoffmann usada neste exercício.</x:v>
      </x:c>
    </x:row>
    <x:row r="7">
      <x:c r="A7" s="9" t="str">
        <x:v>OCDE</x:v>
      </x:c>
      <x:c r="B7" s="9" t="str">
        <x:v>2025 ou último ano disponível; Chile e Irlanda em 2024.</x:v>
      </x:c>
    </x:row>
    <x:row r="8">
      <x:c r="A8" s="9" t="str">
        <x:v>Arquivos gráficos</x:v>
      </x:c>
      <x:c r="B8" s="9" t="str">
        <x:v>07_indices_kaitz_brasil_2012_2023.png; 08_kaitz_brasil_vs_ocde.png</x:v>
      </x:c>
    </x:row>
  </x:sheetData>
  <x:pageMargins left="0.7" right="0.7" top="0.75" bottom="0.75" header="0.3" footer="0.3"/>
</x:worksheet>
</file>